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2107Arbeit\1_Daten\Daten\NER\"/>
    </mc:Choice>
  </mc:AlternateContent>
  <bookViews>
    <workbookView xWindow="0" yWindow="0" windowWidth="16457" windowHeight="5546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1" l="1"/>
  <c r="J24" i="1"/>
  <c r="J17" i="1"/>
  <c r="I25" i="1"/>
  <c r="I24" i="1"/>
  <c r="I17" i="1"/>
</calcChain>
</file>

<file path=xl/sharedStrings.xml><?xml version="1.0" encoding="utf-8"?>
<sst xmlns="http://schemas.openxmlformats.org/spreadsheetml/2006/main" count="35" uniqueCount="20">
  <si>
    <t>Enthalten</t>
  </si>
  <si>
    <t>Gefunden</t>
  </si>
  <si>
    <t>Richtig</t>
  </si>
  <si>
    <t>Falsch</t>
  </si>
  <si>
    <t>Teilweise richtig</t>
  </si>
  <si>
    <t>Unklar</t>
  </si>
  <si>
    <t>Precision</t>
  </si>
  <si>
    <t>Recall</t>
  </si>
  <si>
    <t>F1</t>
  </si>
  <si>
    <t>Accuracy</t>
  </si>
  <si>
    <t>Hülk</t>
  </si>
  <si>
    <t>Gesamt</t>
  </si>
  <si>
    <t>Personen</t>
  </si>
  <si>
    <t>Werke</t>
  </si>
  <si>
    <t>Rieger</t>
  </si>
  <si>
    <t>Hettner</t>
  </si>
  <si>
    <t>Orte</t>
  </si>
  <si>
    <t>x</t>
  </si>
  <si>
    <t>Personen handannotiert</t>
  </si>
  <si>
    <t>Schröder (hochgerechnet)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</si>
</sst>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K39"/>
  <sheetViews>
    <sheetView tabSelected="1" topLeftCell="A24" workbookViewId="0">
      <selection activeCell="B29" sqref="B29"/>
    </sheetView>
  </sheetViews>
  <sheetFormatPr baseColWidth="10" defaultRowHeight="14.6" x14ac:dyDescent="0.4"/>
  <sheetData>
    <row r="13" spans="1:11" x14ac:dyDescent="0.4"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</row>
    <row r="14" spans="1:11" x14ac:dyDescent="0.4">
      <c r="A14" t="s">
        <v>10</v>
      </c>
    </row>
    <row r="15" spans="1:11" x14ac:dyDescent="0.4">
      <c r="A15" s="1" t="s">
        <v>11</v>
      </c>
      <c r="C15">
        <v>2043</v>
      </c>
    </row>
    <row r="16" spans="1:11" x14ac:dyDescent="0.4">
      <c r="A16" t="s">
        <v>18</v>
      </c>
      <c r="B16">
        <v>197</v>
      </c>
    </row>
    <row r="17" spans="1:10" x14ac:dyDescent="0.4">
      <c r="A17" s="1" t="s">
        <v>12</v>
      </c>
      <c r="C17">
        <v>399</v>
      </c>
      <c r="D17">
        <v>149</v>
      </c>
      <c r="E17">
        <v>205</v>
      </c>
      <c r="F17">
        <v>34</v>
      </c>
      <c r="G17">
        <v>11</v>
      </c>
      <c r="H17">
        <v>0.42090395480226001</v>
      </c>
      <c r="I17">
        <f>D17/C17</f>
        <v>0.37343358395989973</v>
      </c>
      <c r="J17">
        <f>2*(H17*I17)/(H17+I17)</f>
        <v>0.39575033200531212</v>
      </c>
    </row>
    <row r="18" spans="1:10" x14ac:dyDescent="0.4">
      <c r="A18" s="1" t="s">
        <v>16</v>
      </c>
      <c r="B18">
        <v>36</v>
      </c>
      <c r="C18">
        <v>22</v>
      </c>
      <c r="D18">
        <v>11</v>
      </c>
    </row>
    <row r="19" spans="1:10" x14ac:dyDescent="0.4">
      <c r="A19" t="s">
        <v>13</v>
      </c>
      <c r="B19">
        <v>40</v>
      </c>
    </row>
    <row r="21" spans="1:10" x14ac:dyDescent="0.4">
      <c r="A21" t="s">
        <v>19</v>
      </c>
    </row>
    <row r="22" spans="1:10" x14ac:dyDescent="0.4">
      <c r="C22">
        <v>631</v>
      </c>
    </row>
    <row r="23" spans="1:10" x14ac:dyDescent="0.4">
      <c r="A23" t="s">
        <v>18</v>
      </c>
      <c r="B23">
        <v>340</v>
      </c>
    </row>
    <row r="24" spans="1:10" x14ac:dyDescent="0.4">
      <c r="A24" s="1" t="s">
        <v>12</v>
      </c>
      <c r="C24">
        <v>234</v>
      </c>
      <c r="D24">
        <v>153</v>
      </c>
      <c r="E24">
        <v>45</v>
      </c>
      <c r="F24">
        <v>16</v>
      </c>
      <c r="G24">
        <v>18</v>
      </c>
      <c r="H24">
        <v>0.77272727272727304</v>
      </c>
      <c r="I24">
        <f>D24/C24</f>
        <v>0.65384615384615385</v>
      </c>
      <c r="J24">
        <f>2*(H24*I24)/(H24+I24)</f>
        <v>0.70833333333333348</v>
      </c>
    </row>
    <row r="25" spans="1:10" x14ac:dyDescent="0.4">
      <c r="A25" s="1" t="s">
        <v>16</v>
      </c>
      <c r="C25">
        <v>52</v>
      </c>
      <c r="D25">
        <v>38</v>
      </c>
      <c r="E25">
        <v>14</v>
      </c>
      <c r="H25">
        <v>0.73076923076923095</v>
      </c>
      <c r="I25">
        <f>D25/D24</f>
        <v>0.24836601307189543</v>
      </c>
      <c r="J25">
        <f>2*(H25*I25)/(H25+I25)</f>
        <v>0.37073170731707322</v>
      </c>
    </row>
    <row r="26" spans="1:10" x14ac:dyDescent="0.4">
      <c r="A26" s="1" t="s">
        <v>13</v>
      </c>
      <c r="B26">
        <v>15</v>
      </c>
      <c r="C26" t="s">
        <v>17</v>
      </c>
    </row>
    <row r="28" spans="1:10" x14ac:dyDescent="0.4">
      <c r="A28" t="s">
        <v>14</v>
      </c>
    </row>
    <row r="29" spans="1:10" x14ac:dyDescent="0.4">
      <c r="A29" t="s">
        <v>18</v>
      </c>
      <c r="C29">
        <v>214</v>
      </c>
    </row>
    <row r="30" spans="1:10" x14ac:dyDescent="0.4">
      <c r="A30" s="1" t="s">
        <v>12</v>
      </c>
      <c r="C30">
        <v>420</v>
      </c>
      <c r="D30">
        <v>276</v>
      </c>
    </row>
    <row r="31" spans="1:10" x14ac:dyDescent="0.4">
      <c r="A31" s="1" t="s">
        <v>16</v>
      </c>
      <c r="C31">
        <v>151</v>
      </c>
      <c r="D31">
        <v>63</v>
      </c>
    </row>
    <row r="32" spans="1:10" x14ac:dyDescent="0.4">
      <c r="A32" s="1" t="s">
        <v>13</v>
      </c>
      <c r="C32" t="s">
        <v>17</v>
      </c>
    </row>
    <row r="34" spans="1:3" x14ac:dyDescent="0.4">
      <c r="A34" t="s">
        <v>15</v>
      </c>
    </row>
    <row r="35" spans="1:3" x14ac:dyDescent="0.4">
      <c r="A35" t="s">
        <v>11</v>
      </c>
    </row>
    <row r="36" spans="1:3" x14ac:dyDescent="0.4">
      <c r="A36" t="s">
        <v>18</v>
      </c>
      <c r="B36">
        <v>53</v>
      </c>
    </row>
    <row r="37" spans="1:3" x14ac:dyDescent="0.4">
      <c r="A37" t="s">
        <v>12</v>
      </c>
      <c r="C37">
        <v>381</v>
      </c>
    </row>
    <row r="38" spans="1:3" x14ac:dyDescent="0.4">
      <c r="A38" t="s">
        <v>16</v>
      </c>
    </row>
    <row r="39" spans="1:3" x14ac:dyDescent="0.4">
      <c r="A39" t="s">
        <v>13</v>
      </c>
      <c r="C39" t="s">
        <v>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 Trier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2021-10-25T18:07:55Z</dcterms:created>
  <dcterms:modified xsi:type="dcterms:W3CDTF">2021-10-28T08:43:21Z</dcterms:modified>
</cp:coreProperties>
</file>